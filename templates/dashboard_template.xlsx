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pivotTables/pivotTable2.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mc:AlternateContent xmlns:mc="http://schemas.openxmlformats.org/markup-compatibility/2006">
    <mc:Choice Requires="x15">
      <x15ac:absPath xmlns:x15ac="http://schemas.microsoft.com/office/spreadsheetml/2010/11/ac" url="D:\Programming\agriculture_2025\project\output_example\"/>
    </mc:Choice>
  </mc:AlternateContent>
  <xr:revisionPtr revIDLastSave="0" documentId="13_ncr:1_{D4BA111C-C8E8-4710-B936-5D8528781D03}" xr6:coauthVersionLast="47" xr6:coauthVersionMax="47" xr10:uidLastSave="{00000000-0000-0000-0000-000000000000}"/>
  <bookViews>
    <workbookView xWindow="-108" yWindow="-108" windowWidth="23256" windowHeight="12456" activeTab="1" xr2:uid="{00000000-000D-0000-FFFF-FFFF00000000}"/>
  </bookViews>
  <sheets>
    <sheet name="Dashboard" sheetId="15" r:id="rId1"/>
    <sheet name="Отчет за день" sheetId="1" r:id="rId2"/>
    <sheet name="Объем работ за день" sheetId="13" r:id="rId3"/>
    <sheet name="% выполнения от плана" sheetId="14" r:id="rId4"/>
  </sheets>
  <definedNames>
    <definedName name="Slicer_Название_подразделения">#N/A</definedName>
    <definedName name="Slicer_Наименование_культуры">#N/A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 i="15" l="1"/>
  <c r="A2" i="13"/>
  <c r="A2" i="14"/>
</calcChain>
</file>

<file path=xl/sharedStrings.xml><?xml version="1.0" encoding="utf-8"?>
<sst xmlns="http://schemas.openxmlformats.org/spreadsheetml/2006/main" count="14" uniqueCount="12">
  <si>
    <t>Sum of Объем работ за день</t>
  </si>
  <si>
    <t>Sum of % выполнения от плана</t>
  </si>
  <si>
    <t>Названия строк</t>
  </si>
  <si>
    <t>Общий итог</t>
  </si>
  <si>
    <t>Дата операции</t>
  </si>
  <si>
    <t>Название подразделения</t>
  </si>
  <si>
    <t>Название операции</t>
  </si>
  <si>
    <t>Наименование культуры</t>
  </si>
  <si>
    <t>Объем работ за день</t>
  </si>
  <si>
    <t>Объем работ с начала</t>
  </si>
  <si>
    <t>Оставшийся объем работ</t>
  </si>
  <si>
    <t>% выполнения от плана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</si>
</sst>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family val="2"/>
      <scheme val="minor"/>
    </font>
    <font>
      <b/>
      <sz val="26"/>
      <color theme="1"/>
      <name val="Calibri"/>
      <family val="2"/>
      <charset val="204"/>
      <scheme val="minor"/>
    </font>
  </fonts>
  <fills count="3">
    <fill>
      <patternFill patternType="none"/>
    </fill>
    <fill>
      <patternFill patternType="gray125"/>
    </fill>
    <fill>
      <patternFill patternType="solid">
        <fgColor theme="6" tint="0.39997558519241921"/>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8">
    <xf numFmtId="0" fontId="0" fillId="0" borderId="0" xfId="0"/>
    <xf numFmtId="0" fontId="0" fillId="0" borderId="0" xfId="0" pivotButton="1"/>
    <xf numFmtId="0" fontId="0" fillId="0" borderId="0" xfId="0" applyAlignment="1">
      <alignment horizontal="left"/>
    </xf>
    <xf numFmtId="10" fontId="0" fillId="0" borderId="0" xfId="0" applyNumberFormat="1"/>
    <xf numFmtId="14" fontId="0" fillId="0" borderId="0" xfId="0" applyNumberFormat="1"/>
    <xf numFmtId="10" fontId="0" fillId="0" borderId="0" xfId="1" applyNumberFormat="1" applyFont="1" applyFill="1"/>
    <xf numFmtId="0" fontId="0" fillId="0" borderId="0" xfId="0" applyNumberFormat="1"/>
    <xf numFmtId="0" fontId="2" fillId="2" borderId="0" xfId="0" applyFont="1" applyFill="1" applyAlignment="1">
      <alignment horizontal="center" vertical="center"/>
    </xf>
  </cellXfs>
  <cellStyles count="2">
    <cellStyle name="Обычный" xfId="0" builtinId="0"/>
    <cellStyle name="Процентный" xfId="1" builtinId="5"/>
  </cellStyles>
  <dxfs count="2">
    <dxf>
      <font>
        <b val="0"/>
        <i val="0"/>
        <strike val="0"/>
        <condense val="0"/>
        <extend val="0"/>
        <outline val="0"/>
        <shadow val="0"/>
        <u val="none"/>
        <vertAlign val="baseline"/>
        <sz val="11"/>
        <color theme="1"/>
        <name val="Calibri"/>
        <family val="2"/>
        <scheme val="minor"/>
      </font>
      <numFmt numFmtId="14" formatCode="0.00%"/>
      <fill>
        <patternFill patternType="solid">
          <fgColor indexed="64"/>
          <bgColor rgb="FFFFFF00"/>
        </patternFill>
      </fill>
    </dxf>
    <dxf>
      <numFmt numFmtId="19" formatCode="dd/mm/yyyy"/>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7"/>
    </mc:Choice>
    <mc:Fallback>
      <c:style val="7"/>
    </mc:Fallback>
  </mc:AlternateContent>
  <c:pivotSource>
    <c:name>[output_template.xlsx]Объем работ за день!PivotTable18</c:name>
    <c:fmtId val="3"/>
  </c:pivotSource>
  <c:chart>
    <c:title>
      <c:tx>
        <c:strRef>
          <c:f>'Объем работ за день'!$A$2</c:f>
          <c:strCache>
            <c:ptCount val="1"/>
            <c:pt idx="0">
              <c:v>Объем работ за 19.10.25,га</c:v>
            </c:pt>
          </c:strCache>
        </c:strRef>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ru-RU"/>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ru-RU"/>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'Объем работ за день'!$A$2</c:f>
              <c:strCache>
                <c:ptCount val="1"/>
                <c:pt idx="0">
                  <c:v>Итог</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'Объем работ за день'!$A$2</c:f>
              <c:strCache>
                <c:ptCount val="1"/>
                <c:pt idx="0">
                  <c:v>Общий итог</c:v>
                </c:pt>
              </c:strCache>
            </c:strRef>
          </c:cat>
          <c:val>
            <c:numRef>
              <c:f>'Объем работ за день'!$A$2</c:f>
              <c:numCache>
                <c:formatCode>General</c:formatCode>
                <c:ptCount val="1"/>
              </c:numCache>
            </c:numRef>
          </c:val>
          <c:extLst>
            <c:ext xmlns:c16="http://schemas.microsoft.com/office/drawing/2014/chart" uri="{C3380CC4-5D6E-409C-BE32-E72D297353CC}">
              <c16:uniqueId val="{00000000-2479-4561-833F-B073D4CAD746}"/>
            </c:ext>
          </c:extLst>
        </c:ser>
        <c:dLbls>
          <c:showLegendKey val="0"/>
          <c:showVal val="0"/>
          <c:showCatName val="0"/>
          <c:showSerName val="0"/>
          <c:showPercent val="0"/>
          <c:showBubbleSize val="0"/>
        </c:dLbls>
        <c:gapWidth val="219"/>
        <c:overlap val="-27"/>
        <c:axId val="411080768"/>
        <c:axId val="411086888"/>
      </c:barChart>
      <c:catAx>
        <c:axId val="411080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411086888"/>
        <c:crosses val="autoZero"/>
        <c:auto val="1"/>
        <c:lblAlgn val="ctr"/>
        <c:lblOffset val="100"/>
        <c:noMultiLvlLbl val="0"/>
      </c:catAx>
      <c:valAx>
        <c:axId val="411086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4110807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7"/>
    </mc:Choice>
    <mc:Fallback>
      <c:style val="7"/>
    </mc:Fallback>
  </mc:AlternateContent>
  <c:pivotSource>
    <c:name>[output_template.xlsx]% выполнения от плана!PivotTable19</c:name>
    <c:fmtId val="3"/>
  </c:pivotSource>
  <c:chart>
    <c:title>
      <c:tx>
        <c:strRef>
          <c:f>'% выполнения от плана'!$A$2</c:f>
          <c:strCache>
            <c:ptCount val="1"/>
            <c:pt idx="0">
              <c:v>% выполнения от плана на 19.10.25</c:v>
            </c:pt>
          </c:strCache>
        </c:strRef>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ru-RU"/>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выполнения от плана'!$A$2</c:f>
              <c:strCache>
                <c:ptCount val="1"/>
                <c:pt idx="0">
                  <c:v>Итог</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выполнения от плана'!$A$2</c:f>
              <c:strCache>
                <c:ptCount val="1"/>
                <c:pt idx="0">
                  <c:v>Общий итог</c:v>
                </c:pt>
              </c:strCache>
            </c:strRef>
          </c:cat>
          <c:val>
            <c:numRef>
              <c:f>'% выполнения от плана'!$A$2</c:f>
              <c:numCache>
                <c:formatCode>0.00%</c:formatCode>
                <c:ptCount val="1"/>
              </c:numCache>
            </c:numRef>
          </c:val>
          <c:extLst>
            <c:ext xmlns:c16="http://schemas.microsoft.com/office/drawing/2014/chart" uri="{C3380CC4-5D6E-409C-BE32-E72D297353CC}">
              <c16:uniqueId val="{00000000-2CBE-4636-8C41-948D263BFE17}"/>
            </c:ext>
          </c:extLst>
        </c:ser>
        <c:dLbls>
          <c:showLegendKey val="0"/>
          <c:showVal val="0"/>
          <c:showCatName val="0"/>
          <c:showSerName val="0"/>
          <c:showPercent val="0"/>
          <c:showBubbleSize val="0"/>
        </c:dLbls>
        <c:gapWidth val="219"/>
        <c:overlap val="-27"/>
        <c:axId val="556547568"/>
        <c:axId val="556549728"/>
      </c:barChart>
      <c:catAx>
        <c:axId val="556547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556549728"/>
        <c:crosses val="autoZero"/>
        <c:auto val="1"/>
        <c:lblAlgn val="ctr"/>
        <c:lblOffset val="100"/>
        <c:noMultiLvlLbl val="0"/>
      </c:catAx>
      <c:valAx>
        <c:axId val="55654972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5565475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pivotSource>
    <c:name>[output_template.xlsx]Объем работ за день!PivotTable18</c:name>
    <c:fmtId val="0"/>
  </c:pivotSource>
  <c:chart>
    <c:title>
      <c:tx>
        <c:strRef>
          <c:f>'Объем работ за день'!$A$2</c:f>
          <c:strCache>
            <c:ptCount val="1"/>
            <c:pt idx="0">
              <c:v>Объем работ за 19.10.25,га</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'Объем работ за день'!$A$2</c:f>
              <c:strCache>
                <c:ptCount val="1"/>
                <c:pt idx="0">
                  <c:v>Итог</c:v>
                </c:pt>
              </c:strCache>
            </c:strRef>
          </c:tx>
          <c:spPr>
            <a:solidFill>
              <a:schemeClr val="accent1"/>
            </a:solidFill>
            <a:ln>
              <a:noFill/>
            </a:ln>
            <a:effectLst/>
          </c:spPr>
          <c:invertIfNegative val="0"/>
          <c:cat>
            <c:strRef>
              <c:f>'Объем работ за день'!$A$2</c:f>
              <c:strCache>
                <c:ptCount val="1"/>
                <c:pt idx="0">
                  <c:v>Общий итог</c:v>
                </c:pt>
              </c:strCache>
            </c:strRef>
          </c:cat>
          <c:val>
            <c:numRef>
              <c:f>'Объем работ за день'!$A$2</c:f>
              <c:numCache>
                <c:formatCode>General</c:formatCode>
                <c:ptCount val="1"/>
              </c:numCache>
            </c:numRef>
          </c:val>
          <c:extLst>
            <c:ext xmlns:c16="http://schemas.microsoft.com/office/drawing/2014/chart" uri="{C3380CC4-5D6E-409C-BE32-E72D297353CC}">
              <c16:uniqueId val="{00000001-D07B-41F9-94EE-4B9634C25EC5}"/>
            </c:ext>
          </c:extLst>
        </c:ser>
        <c:dLbls>
          <c:showLegendKey val="0"/>
          <c:showVal val="0"/>
          <c:showCatName val="0"/>
          <c:showSerName val="0"/>
          <c:showPercent val="0"/>
          <c:showBubbleSize val="0"/>
        </c:dLbls>
        <c:gapWidth val="219"/>
        <c:overlap val="-27"/>
        <c:axId val="411080768"/>
        <c:axId val="411086888"/>
      </c:barChart>
      <c:catAx>
        <c:axId val="411080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411086888"/>
        <c:crosses val="autoZero"/>
        <c:auto val="1"/>
        <c:lblAlgn val="ctr"/>
        <c:lblOffset val="100"/>
        <c:noMultiLvlLbl val="0"/>
      </c:catAx>
      <c:valAx>
        <c:axId val="411086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411080768"/>
        <c:crosses val="autoZero"/>
        <c:crossBetween val="between"/>
      </c:valAx>
    </c:plotArea>
    <c:plotVisOnly val="1"/>
    <c:dispBlanksAs val="gap"/>
    <c:showDLblsOverMax val="0"/>
    <c:extLst/>
  </c:chart>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pivotSource>
    <c:name>[output_template.xlsx]% выполнения от плана!PivotTable19</c:name>
    <c:fmtId val="0"/>
  </c:pivotSource>
  <c:chart>
    <c:title>
      <c:tx>
        <c:strRef>
          <c:f>'% выполнения от плана'!$A$2</c:f>
          <c:strCache>
            <c:ptCount val="1"/>
            <c:pt idx="0">
              <c:v>% выполнения от плана на 19.10.25</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выполнения от плана'!$A$2</c:f>
              <c:strCache>
                <c:ptCount val="1"/>
                <c:pt idx="0">
                  <c:v>Итог</c:v>
                </c:pt>
              </c:strCache>
            </c:strRef>
          </c:tx>
          <c:spPr>
            <a:solidFill>
              <a:schemeClr val="accent1"/>
            </a:solidFill>
            <a:ln>
              <a:noFill/>
            </a:ln>
            <a:effectLst/>
          </c:spPr>
          <c:invertIfNegative val="0"/>
          <c:cat>
            <c:strRef>
              <c:f>'% выполнения от плана'!$A$2</c:f>
              <c:strCache>
                <c:ptCount val="1"/>
                <c:pt idx="0">
                  <c:v>Общий итог</c:v>
                </c:pt>
              </c:strCache>
            </c:strRef>
          </c:cat>
          <c:val>
            <c:numRef>
              <c:f>'% выполнения от плана'!$A$2</c:f>
              <c:numCache>
                <c:formatCode>0.00%</c:formatCode>
                <c:ptCount val="1"/>
              </c:numCache>
            </c:numRef>
          </c:val>
          <c:extLst>
            <c:ext xmlns:c16="http://schemas.microsoft.com/office/drawing/2014/chart" uri="{C3380CC4-5D6E-409C-BE32-E72D297353CC}">
              <c16:uniqueId val="{00000000-44AB-44FB-962C-851D35D9F3EC}"/>
            </c:ext>
          </c:extLst>
        </c:ser>
        <c:dLbls>
          <c:showLegendKey val="0"/>
          <c:showVal val="0"/>
          <c:showCatName val="0"/>
          <c:showSerName val="0"/>
          <c:showPercent val="0"/>
          <c:showBubbleSize val="0"/>
        </c:dLbls>
        <c:gapWidth val="219"/>
        <c:overlap val="-27"/>
        <c:axId val="556547568"/>
        <c:axId val="556549728"/>
      </c:barChart>
      <c:catAx>
        <c:axId val="556547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556549728"/>
        <c:crosses val="autoZero"/>
        <c:auto val="1"/>
        <c:lblAlgn val="ctr"/>
        <c:lblOffset val="100"/>
        <c:noMultiLvlLbl val="0"/>
      </c:catAx>
      <c:valAx>
        <c:axId val="55654972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5565475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523420</xdr:colOff>
      <xdr:row>4</xdr:row>
      <xdr:rowOff>144236</xdr:rowOff>
    </xdr:from>
    <xdr:to>
      <xdr:col>11</xdr:col>
      <xdr:colOff>598714</xdr:colOff>
      <xdr:row>22</xdr:row>
      <xdr:rowOff>145142</xdr:rowOff>
    </xdr:to>
    <xdr:graphicFrame macro="">
      <xdr:nvGraphicFramePr>
        <xdr:cNvPr id="2" name="Chart 1">
          <a:extLst>
            <a:ext uri="{FF2B5EF4-FFF2-40B4-BE49-F238E27FC236}">
              <a16:creationId xmlns:a16="http://schemas.microsoft.com/office/drawing/2014/main" id="{3B354479-5774-44F1-9B64-2326ED5865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108858</xdr:colOff>
      <xdr:row>4</xdr:row>
      <xdr:rowOff>132442</xdr:rowOff>
    </xdr:from>
    <xdr:to>
      <xdr:col>21</xdr:col>
      <xdr:colOff>1</xdr:colOff>
      <xdr:row>22</xdr:row>
      <xdr:rowOff>145142</xdr:rowOff>
    </xdr:to>
    <xdr:graphicFrame macro="">
      <xdr:nvGraphicFramePr>
        <xdr:cNvPr id="3" name="Chart 2">
          <a:extLst>
            <a:ext uri="{FF2B5EF4-FFF2-40B4-BE49-F238E27FC236}">
              <a16:creationId xmlns:a16="http://schemas.microsoft.com/office/drawing/2014/main" id="{E783374C-EF25-4BD2-A59C-AD3C14B95E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82550</xdr:colOff>
      <xdr:row>5</xdr:row>
      <xdr:rowOff>6351</xdr:rowOff>
    </xdr:from>
    <xdr:to>
      <xdr:col>3</xdr:col>
      <xdr:colOff>136072</xdr:colOff>
      <xdr:row>13</xdr:row>
      <xdr:rowOff>72572</xdr:rowOff>
    </xdr:to>
    <mc:AlternateContent xmlns:mc="http://schemas.openxmlformats.org/markup-compatibility/2006" xmlns:a14="http://schemas.microsoft.com/office/drawing/2010/main">
      <mc:Choice Requires="a14">
        <xdr:graphicFrame macro="">
          <xdr:nvGraphicFramePr>
            <xdr:cNvPr id="4" name="Название подразделения">
              <a:extLst>
                <a:ext uri="{FF2B5EF4-FFF2-40B4-BE49-F238E27FC236}">
                  <a16:creationId xmlns:a16="http://schemas.microsoft.com/office/drawing/2014/main" id="{890924A8-9C14-1EBD-AC72-969BE2328894}"/>
                </a:ext>
              </a:extLst>
            </xdr:cNvPr>
            <xdr:cNvGraphicFramePr/>
          </xdr:nvGraphicFramePr>
          <xdr:xfrm>
            <a:off x="0" y="0"/>
            <a:ext cx="0" cy="0"/>
          </xdr:xfrm>
          <a:graphic>
            <a:graphicData uri="http://schemas.microsoft.com/office/drawing/2010/slicer">
              <sle:slicer xmlns:sle="http://schemas.microsoft.com/office/drawing/2010/slicer" name="Название подразделения"/>
            </a:graphicData>
          </a:graphic>
        </xdr:graphicFrame>
      </mc:Choice>
      <mc:Fallback xmlns="">
        <xdr:sp macro="" textlink="">
          <xdr:nvSpPr>
            <xdr:cNvPr id="0" name=""/>
            <xdr:cNvSpPr>
              <a:spLocks noTextEdit="1"/>
            </xdr:cNvSpPr>
          </xdr:nvSpPr>
          <xdr:spPr>
            <a:xfrm>
              <a:off x="82550" y="187780"/>
              <a:ext cx="1148371" cy="1234621"/>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113393</xdr:colOff>
      <xdr:row>14</xdr:row>
      <xdr:rowOff>92530</xdr:rowOff>
    </xdr:from>
    <xdr:to>
      <xdr:col>3</xdr:col>
      <xdr:colOff>154215</xdr:colOff>
      <xdr:row>23</xdr:row>
      <xdr:rowOff>12700</xdr:rowOff>
    </xdr:to>
    <mc:AlternateContent xmlns:mc="http://schemas.openxmlformats.org/markup-compatibility/2006" xmlns:a14="http://schemas.microsoft.com/office/drawing/2010/main">
      <mc:Choice Requires="a14">
        <xdr:graphicFrame macro="">
          <xdr:nvGraphicFramePr>
            <xdr:cNvPr id="5" name="Наименование культуры">
              <a:extLst>
                <a:ext uri="{FF2B5EF4-FFF2-40B4-BE49-F238E27FC236}">
                  <a16:creationId xmlns:a16="http://schemas.microsoft.com/office/drawing/2014/main" id="{36190997-F57D-42ED-5E0F-3D0B73B37336}"/>
                </a:ext>
              </a:extLst>
            </xdr:cNvPr>
            <xdr:cNvGraphicFramePr/>
          </xdr:nvGraphicFramePr>
          <xdr:xfrm>
            <a:off x="0" y="0"/>
            <a:ext cx="0" cy="0"/>
          </xdr:xfrm>
          <a:graphic>
            <a:graphicData uri="http://schemas.microsoft.com/office/drawing/2010/slicer">
              <sle:slicer xmlns:sle="http://schemas.microsoft.com/office/drawing/2010/slicer" name="Наименование культуры"/>
            </a:graphicData>
          </a:graphic>
        </xdr:graphicFrame>
      </mc:Choice>
      <mc:Fallback xmlns="">
        <xdr:sp macro="" textlink="">
          <xdr:nvSpPr>
            <xdr:cNvPr id="0" name=""/>
            <xdr:cNvSpPr>
              <a:spLocks noTextEdit="1"/>
            </xdr:cNvSpPr>
          </xdr:nvSpPr>
          <xdr:spPr>
            <a:xfrm>
              <a:off x="113393" y="2632530"/>
              <a:ext cx="1864179" cy="1553027"/>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82550</xdr:colOff>
      <xdr:row>1</xdr:row>
      <xdr:rowOff>63500</xdr:rowOff>
    </xdr:from>
    <xdr:to>
      <xdr:col>10</xdr:col>
      <xdr:colOff>387350</xdr:colOff>
      <xdr:row>16</xdr:row>
      <xdr:rowOff>44450</xdr:rowOff>
    </xdr:to>
    <xdr:graphicFrame macro="">
      <xdr:nvGraphicFramePr>
        <xdr:cNvPr id="2" name="Chart 1">
          <a:extLst>
            <a:ext uri="{FF2B5EF4-FFF2-40B4-BE49-F238E27FC236}">
              <a16:creationId xmlns:a16="http://schemas.microsoft.com/office/drawing/2014/main" id="{E8396B02-8C41-AECA-641E-7F75AF7158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260350</xdr:colOff>
      <xdr:row>1</xdr:row>
      <xdr:rowOff>107950</xdr:rowOff>
    </xdr:from>
    <xdr:to>
      <xdr:col>9</xdr:col>
      <xdr:colOff>565150</xdr:colOff>
      <xdr:row>16</xdr:row>
      <xdr:rowOff>88900</xdr:rowOff>
    </xdr:to>
    <xdr:graphicFrame macro="">
      <xdr:nvGraphicFramePr>
        <xdr:cNvPr id="2" name="Chart 1">
          <a:extLst>
            <a:ext uri="{FF2B5EF4-FFF2-40B4-BE49-F238E27FC236}">
              <a16:creationId xmlns:a16="http://schemas.microsoft.com/office/drawing/2014/main" id="{EA03A4C8-6D38-F48D-3876-11B52B1812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Костя Абросимов" refreshedDate="45950.648388078705" createdVersion="8" refreshedVersion="7" minRefreshableVersion="3" recordCount="27" xr:uid="{A04A2DEC-C67F-4FD7-9A5E-0139DB4FE757}">
  <cacheSource type="worksheet">
    <worksheetSource name="Table1"/>
  </cacheSource>
  <cacheFields count="8">
    <cacheField name="Дата операции" numFmtId="14">
      <sharedItems containsNonDate="0" containsString="0" containsBlank="1"/>
    </cacheField>
    <cacheField name="Название подразделения" numFmtId="0">
      <sharedItems containsNonDate="0" containsBlank="1" count="6">
        <m/>
        <s v="ПУ Север" u="1"/>
        <s v="ПУ Юг" u="1"/>
        <s v="ПУ Кавказ" u="1"/>
        <s v="Прогресс" u="1"/>
        <s v="ПУ Центр" u="1"/>
      </sharedItems>
    </cacheField>
    <cacheField name="Название операции" numFmtId="0">
      <sharedItems containsNonDate="0" containsBlank="1" count="10">
        <m/>
        <s v="Герб обработка " u="1"/>
        <s v="КАС" u="1"/>
        <s v="Дискование стерни" u="1"/>
        <s v="М/К" u="1"/>
        <s v="Фунг/инсек обраб №2" u="1"/>
        <s v="Акарицидная обработка" u="1"/>
        <s v="Внесение мин удобрений" u="1"/>
        <s v="1е дискование" u="1"/>
        <s v="Пахота" u="1"/>
      </sharedItems>
    </cacheField>
    <cacheField name="Наименование культуры" numFmtId="0">
      <sharedItems containsNonDate="0" containsBlank="1" count="7">
        <m/>
        <s v="Пшеница озимая товарная" u="1"/>
        <s v="Рапс" u="1"/>
        <s v="КАРТОШКА ЛЮТАЯ" u="1"/>
        <s v="Соя товарная" u="1"/>
        <s v="Свекла сахарная" u="1"/>
        <s v="Многолетние злаковые травы" u="1"/>
      </sharedItems>
    </cacheField>
    <cacheField name="Объем работ за день" numFmtId="0">
      <sharedItems containsNonDate="0" containsString="0" containsBlank="1"/>
    </cacheField>
    <cacheField name="Объем работ с начала" numFmtId="0">
      <sharedItems containsNonDate="0" containsString="0" containsBlank="1"/>
    </cacheField>
    <cacheField name="Оставшийся объем работ" numFmtId="0">
      <sharedItems containsNonDate="0" containsString="0" containsBlank="1"/>
    </cacheField>
    <cacheField name="% выполнения от плана" numFmtId="10">
      <sharedItems containsNonDate="0" containsString="0" containsBlank="1"/>
    </cacheField>
  </cacheFields>
  <extLst>
    <ext xmlns:x14="http://schemas.microsoft.com/office/spreadsheetml/2009/9/main" uri="{725AE2AE-9491-48be-B2B4-4EB974FC3084}">
      <x14:pivotCacheDefinition pivotCacheId="2713732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
  <r>
    <m/>
    <x v="0"/>
    <x v="0"/>
    <x v="0"/>
    <m/>
    <m/>
    <m/>
    <m/>
  </r>
  <r>
    <m/>
    <x v="0"/>
    <x v="0"/>
    <x v="0"/>
    <m/>
    <m/>
    <m/>
    <m/>
  </r>
  <r>
    <m/>
    <x v="0"/>
    <x v="0"/>
    <x v="0"/>
    <m/>
    <m/>
    <m/>
    <m/>
  </r>
  <r>
    <m/>
    <x v="0"/>
    <x v="0"/>
    <x v="0"/>
    <m/>
    <m/>
    <m/>
    <m/>
  </r>
  <r>
    <m/>
    <x v="0"/>
    <x v="0"/>
    <x v="0"/>
    <m/>
    <m/>
    <m/>
    <m/>
  </r>
  <r>
    <m/>
    <x v="0"/>
    <x v="0"/>
    <x v="0"/>
    <m/>
    <m/>
    <m/>
    <m/>
  </r>
  <r>
    <m/>
    <x v="0"/>
    <x v="0"/>
    <x v="0"/>
    <m/>
    <m/>
    <m/>
    <m/>
  </r>
  <r>
    <m/>
    <x v="0"/>
    <x v="0"/>
    <x v="0"/>
    <m/>
    <m/>
    <m/>
    <m/>
  </r>
  <r>
    <m/>
    <x v="0"/>
    <x v="0"/>
    <x v="0"/>
    <m/>
    <m/>
    <m/>
    <m/>
  </r>
  <r>
    <m/>
    <x v="0"/>
    <x v="0"/>
    <x v="0"/>
    <m/>
    <m/>
    <m/>
    <m/>
  </r>
  <r>
    <m/>
    <x v="0"/>
    <x v="0"/>
    <x v="0"/>
    <m/>
    <m/>
    <m/>
    <m/>
  </r>
  <r>
    <m/>
    <x v="0"/>
    <x v="0"/>
    <x v="0"/>
    <m/>
    <m/>
    <m/>
    <m/>
  </r>
  <r>
    <m/>
    <x v="0"/>
    <x v="0"/>
    <x v="0"/>
    <m/>
    <m/>
    <m/>
    <m/>
  </r>
  <r>
    <m/>
    <x v="0"/>
    <x v="0"/>
    <x v="0"/>
    <m/>
    <m/>
    <m/>
    <m/>
  </r>
  <r>
    <m/>
    <x v="0"/>
    <x v="0"/>
    <x v="0"/>
    <m/>
    <m/>
    <m/>
    <m/>
  </r>
  <r>
    <m/>
    <x v="0"/>
    <x v="0"/>
    <x v="0"/>
    <m/>
    <m/>
    <m/>
    <m/>
  </r>
  <r>
    <m/>
    <x v="0"/>
    <x v="0"/>
    <x v="0"/>
    <m/>
    <m/>
    <m/>
    <m/>
  </r>
  <r>
    <m/>
    <x v="0"/>
    <x v="0"/>
    <x v="0"/>
    <m/>
    <m/>
    <m/>
    <m/>
  </r>
  <r>
    <m/>
    <x v="0"/>
    <x v="0"/>
    <x v="0"/>
    <m/>
    <m/>
    <m/>
    <m/>
  </r>
  <r>
    <m/>
    <x v="0"/>
    <x v="0"/>
    <x v="0"/>
    <m/>
    <m/>
    <m/>
    <m/>
  </r>
  <r>
    <m/>
    <x v="0"/>
    <x v="0"/>
    <x v="0"/>
    <m/>
    <m/>
    <m/>
    <m/>
  </r>
  <r>
    <m/>
    <x v="0"/>
    <x v="0"/>
    <x v="0"/>
    <m/>
    <m/>
    <m/>
    <m/>
  </r>
  <r>
    <m/>
    <x v="0"/>
    <x v="0"/>
    <x v="0"/>
    <m/>
    <m/>
    <m/>
    <m/>
  </r>
  <r>
    <m/>
    <x v="0"/>
    <x v="0"/>
    <x v="0"/>
    <m/>
    <m/>
    <m/>
    <m/>
  </r>
  <r>
    <m/>
    <x v="0"/>
    <x v="0"/>
    <x v="0"/>
    <m/>
    <m/>
    <m/>
    <m/>
  </r>
  <r>
    <m/>
    <x v="0"/>
    <x v="0"/>
    <x v="0"/>
    <m/>
    <m/>
    <m/>
    <m/>
  </r>
  <r>
    <m/>
    <x v="0"/>
    <x v="0"/>
    <x v="0"/>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879BFCB-3337-4098-9759-1A3C5F2A78F7}" name="PivotTable18"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10">
  <location ref="A3:B4" firstHeaderRow="1" firstDataRow="1" firstDataCol="1"/>
  <pivotFields count="8">
    <pivotField numFmtId="14" showAll="0"/>
    <pivotField showAll="0">
      <items count="7">
        <item h="1" m="1" x="4"/>
        <item h="1" m="1" x="3"/>
        <item h="1" m="1" x="1"/>
        <item m="1" x="5"/>
        <item h="1" m="1" x="2"/>
        <item h="1" x="0"/>
        <item t="default"/>
      </items>
    </pivotField>
    <pivotField axis="axisRow" showAll="0">
      <items count="11">
        <item m="1" x="8"/>
        <item m="1" x="6"/>
        <item m="1" x="7"/>
        <item m="1" x="1"/>
        <item m="1" x="3"/>
        <item m="1" x="2"/>
        <item m="1" x="4"/>
        <item m="1" x="9"/>
        <item m="1" x="5"/>
        <item x="0"/>
        <item t="default"/>
      </items>
    </pivotField>
    <pivotField showAll="0">
      <items count="8">
        <item m="1" x="3"/>
        <item m="1" x="6"/>
        <item m="1" x="1"/>
        <item m="1" x="2"/>
        <item m="1" x="5"/>
        <item m="1" x="4"/>
        <item x="0"/>
        <item t="default"/>
      </items>
    </pivotField>
    <pivotField dataField="1" showAll="0"/>
    <pivotField showAll="0"/>
    <pivotField showAll="0"/>
    <pivotField numFmtId="10" showAll="0"/>
  </pivotFields>
  <rowFields count="1">
    <field x="2"/>
  </rowFields>
  <rowItems count="1">
    <i t="grand">
      <x/>
    </i>
  </rowItems>
  <colItems count="1">
    <i/>
  </colItems>
  <dataFields count="1">
    <dataField name="Sum of Объем работ за день" fld="4" baseField="0" baseItem="0"/>
  </dataFields>
  <chartFormats count="2">
    <chartFormat chart="3"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6B1B387-9239-40BA-B7BD-5CF943E24E42}" name="PivotTable19"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8">
  <location ref="A3:B4" firstHeaderRow="1" firstDataRow="1" firstDataCol="1"/>
  <pivotFields count="8">
    <pivotField numFmtId="14" showAll="0"/>
    <pivotField showAll="0">
      <items count="7">
        <item h="1" m="1" x="4"/>
        <item h="1" m="1" x="3"/>
        <item h="1" m="1" x="1"/>
        <item m="1" x="5"/>
        <item h="1" m="1" x="2"/>
        <item h="1" x="0"/>
        <item t="default"/>
      </items>
    </pivotField>
    <pivotField axis="axisRow" showAll="0">
      <items count="11">
        <item m="1" x="8"/>
        <item m="1" x="6"/>
        <item m="1" x="7"/>
        <item m="1" x="1"/>
        <item m="1" x="3"/>
        <item m="1" x="2"/>
        <item m="1" x="4"/>
        <item m="1" x="9"/>
        <item m="1" x="5"/>
        <item x="0"/>
        <item t="default"/>
      </items>
    </pivotField>
    <pivotField showAll="0">
      <items count="8">
        <item m="1" x="3"/>
        <item m="1" x="6"/>
        <item m="1" x="1"/>
        <item m="1" x="2"/>
        <item m="1" x="5"/>
        <item m="1" x="4"/>
        <item x="0"/>
        <item t="default"/>
      </items>
    </pivotField>
    <pivotField showAll="0"/>
    <pivotField showAll="0"/>
    <pivotField showAll="0"/>
    <pivotField dataField="1" numFmtId="10" showAll="0"/>
  </pivotFields>
  <rowFields count="1">
    <field x="2"/>
  </rowFields>
  <rowItems count="1">
    <i t="grand">
      <x/>
    </i>
  </rowItems>
  <colItems count="1">
    <i/>
  </colItems>
  <dataFields count="1">
    <dataField name="Sum of % выполнения от плана" fld="7" baseField="0" baseItem="0" numFmtId="1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Название_подразделения" xr10:uid="{88B673CB-247C-49F3-9330-1EFDA826E83E}" sourceName="Название подразделения">
  <pivotTables>
    <pivotTable tabId="13" name="PivotTable18"/>
    <pivotTable tabId="14" name="PivotTable19"/>
  </pivotTables>
  <data>
    <tabular pivotCacheId="271373208">
      <items count="6">
        <i x="4" nd="1"/>
        <i x="3" nd="1"/>
        <i x="1" nd="1"/>
        <i x="5" s="1" nd="1"/>
        <i x="2" nd="1"/>
        <i x="0"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Наименование_культуры" xr10:uid="{337A603D-6700-4EAB-81D4-B88337168BAB}" sourceName="Наименование культуры">
  <pivotTables>
    <pivotTable tabId="13" name="PivotTable18"/>
    <pivotTable tabId="14" name="PivotTable19"/>
  </pivotTables>
  <data>
    <tabular pivotCacheId="271373208">
      <items count="7">
        <i x="3" s="1" nd="1"/>
        <i x="6" s="1" nd="1"/>
        <i x="1" s="1" nd="1"/>
        <i x="2" s="1" nd="1"/>
        <i x="5" s="1" nd="1"/>
        <i x="4" s="1" nd="1"/>
        <i x="0"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Название подразделения" xr10:uid="{9895B51C-1F01-496D-8531-5D451DF15991}" cache="Slicer_Название_подразделения" caption="Название подразделения" showCaption="0" style="SlicerStyleLight3" rowHeight="241300"/>
  <slicer name="Наименование культуры" xr10:uid="{76704D49-F8C3-4A35-B107-91B8E9EAD049}" cache="Slicer_Наименование_культуры" caption="Наименование культуры" showCaption="0" style="SlicerStyleLight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499E7EF-E083-44BF-82B3-ADFEF8C7FA27}" name="Table1" displayName="Table1" ref="A1:H2" insertRow="1" totalsRowShown="0">
  <autoFilter ref="A1:H2" xr:uid="{E499E7EF-E083-44BF-82B3-ADFEF8C7FA27}"/>
  <tableColumns count="8">
    <tableColumn id="1" xr3:uid="{140EB11E-89C2-4528-808E-7F6C05856A72}" name="Дата операции" dataDxfId="1"/>
    <tableColumn id="2" xr3:uid="{2C81E468-7D2D-41BC-B5E4-49AC9EBE8CA4}" name="Название подразделения"/>
    <tableColumn id="3" xr3:uid="{BFDCF67A-1697-4FA4-B2C6-52DA21C1B81E}" name="Название операции"/>
    <tableColumn id="4" xr3:uid="{D40AB9DF-335C-400B-920B-BA1A9122CC56}" name="Наименование культуры"/>
    <tableColumn id="5" xr3:uid="{CA12F107-5568-48C0-84C1-DC17ADA35796}" name="Объем работ за день"/>
    <tableColumn id="6" xr3:uid="{1ED8BA82-1528-4BE1-A725-0338F910CE7F}" name="Объем работ с начала"/>
    <tableColumn id="7" xr3:uid="{808C4BDD-9789-41BC-A268-7F69A7EC6072}" name="Оставшийся объем работ"/>
    <tableColumn id="8" xr3:uid="{C468C51D-BFE9-45B8-859B-34A3A95C9CEA}" name="% выполнения от плана" dataDxfId="0">
      <calculatedColumnFormula>100%-G2/(Table1[[#This Row],[Объем работ с начала]]+Table1[[#This Row],[Оставшийся объем работ]])</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41BC0-9EEA-4E73-9682-237C7D430AAE}">
  <dimension ref="A2:U4"/>
  <sheetViews>
    <sheetView zoomScale="70" zoomScaleNormal="70" workbookViewId="0">
      <selection activeCell="K31" sqref="K31"/>
    </sheetView>
  </sheetViews>
  <sheetFormatPr defaultRowHeight="14.4" x14ac:dyDescent="0.3"/>
  <sheetData>
    <row r="2" spans="1:21" ht="14.55" customHeight="1" x14ac:dyDescent="0.3">
      <c r="A2" s="7" t="str">
        <f ca="1">"Отчет о проделанной работе за " &amp;" " &amp;  TEXT((TODAY()-1),"ДД.ММ.ГГГГ")</f>
        <v>Отчет о проделанной работе за  19.10.2025</v>
      </c>
      <c r="B2" s="7"/>
      <c r="C2" s="7"/>
      <c r="D2" s="7"/>
      <c r="E2" s="7"/>
      <c r="F2" s="7"/>
      <c r="G2" s="7"/>
      <c r="H2" s="7"/>
      <c r="I2" s="7"/>
      <c r="J2" s="7"/>
      <c r="K2" s="7"/>
      <c r="L2" s="7"/>
      <c r="M2" s="7"/>
      <c r="N2" s="7"/>
      <c r="O2" s="7"/>
      <c r="P2" s="7"/>
      <c r="Q2" s="7"/>
      <c r="R2" s="7"/>
      <c r="S2" s="7"/>
      <c r="T2" s="7"/>
      <c r="U2" s="7"/>
    </row>
    <row r="3" spans="1:21" ht="14.55" customHeight="1" x14ac:dyDescent="0.3">
      <c r="A3" s="7"/>
      <c r="B3" s="7"/>
      <c r="C3" s="7"/>
      <c r="D3" s="7"/>
      <c r="E3" s="7"/>
      <c r="F3" s="7"/>
      <c r="G3" s="7"/>
      <c r="H3" s="7"/>
      <c r="I3" s="7"/>
      <c r="J3" s="7"/>
      <c r="K3" s="7"/>
      <c r="L3" s="7"/>
      <c r="M3" s="7"/>
      <c r="N3" s="7"/>
      <c r="O3" s="7"/>
      <c r="P3" s="7"/>
      <c r="Q3" s="7"/>
      <c r="R3" s="7"/>
      <c r="S3" s="7"/>
      <c r="T3" s="7"/>
      <c r="U3" s="7"/>
    </row>
    <row r="4" spans="1:21" ht="14.55" customHeight="1" x14ac:dyDescent="0.3">
      <c r="A4" s="7"/>
      <c r="B4" s="7"/>
      <c r="C4" s="7"/>
      <c r="D4" s="7"/>
      <c r="E4" s="7"/>
      <c r="F4" s="7"/>
      <c r="G4" s="7"/>
      <c r="H4" s="7"/>
      <c r="I4" s="7"/>
      <c r="J4" s="7"/>
      <c r="K4" s="7"/>
      <c r="L4" s="7"/>
      <c r="M4" s="7"/>
      <c r="N4" s="7"/>
      <c r="O4" s="7"/>
      <c r="P4" s="7"/>
      <c r="Q4" s="7"/>
      <c r="R4" s="7"/>
      <c r="S4" s="7"/>
      <c r="T4" s="7"/>
      <c r="U4" s="7"/>
    </row>
  </sheetData>
  <mergeCells count="1">
    <mergeCell ref="A2:U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
  <sheetViews>
    <sheetView tabSelected="1" zoomScale="85" zoomScaleNormal="85" workbookViewId="0">
      <selection activeCell="B1" sqref="B1"/>
    </sheetView>
  </sheetViews>
  <sheetFormatPr defaultRowHeight="14.4" x14ac:dyDescent="0.3"/>
  <cols>
    <col min="1" max="1" width="18" customWidth="1"/>
    <col min="2" max="3" width="28.77734375" customWidth="1"/>
    <col min="4" max="4" width="33.5546875" customWidth="1"/>
    <col min="5" max="5" width="25.21875" customWidth="1"/>
    <col min="6" max="6" width="26.44140625" customWidth="1"/>
    <col min="7" max="7" width="28.77734375" customWidth="1"/>
    <col min="8" max="8" width="23.77734375" customWidth="1"/>
  </cols>
  <sheetData>
    <row r="1" spans="1:8" x14ac:dyDescent="0.3">
      <c r="A1" t="s">
        <v>4</v>
      </c>
      <c r="B1" t="s">
        <v>5</v>
      </c>
      <c r="C1" t="s">
        <v>6</v>
      </c>
      <c r="D1" t="s">
        <v>7</v>
      </c>
      <c r="E1" t="s">
        <v>8</v>
      </c>
      <c r="F1" t="s">
        <v>9</v>
      </c>
      <c r="G1" t="s">
        <v>10</v>
      </c>
      <c r="H1" t="s">
        <v>11</v>
      </c>
    </row>
    <row r="2" spans="1:8" x14ac:dyDescent="0.3">
      <c r="A2" s="4"/>
      <c r="H2" s="5"/>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AD356-A7C8-4135-B6CC-75DF1BAF2728}">
  <dimension ref="A1:B4"/>
  <sheetViews>
    <sheetView workbookViewId="0">
      <selection activeCell="A4" sqref="A4"/>
    </sheetView>
  </sheetViews>
  <sheetFormatPr defaultRowHeight="14.4" x14ac:dyDescent="0.3"/>
  <cols>
    <col min="1" max="1" width="17" bestFit="1" customWidth="1"/>
    <col min="2" max="2" width="26.44140625" bestFit="1" customWidth="1"/>
  </cols>
  <sheetData>
    <row r="1" spans="1:2" x14ac:dyDescent="0.3">
      <c r="A1" s="4"/>
    </row>
    <row r="2" spans="1:2" x14ac:dyDescent="0.3">
      <c r="A2" t="str">
        <f ca="1">"Объем работ за" &amp;" " &amp;  TEXT((TODAY()-1),"ДД.ММ.ГГ") &amp; ",га"</f>
        <v>Объем работ за 19.10.25,га</v>
      </c>
    </row>
    <row r="3" spans="1:2" x14ac:dyDescent="0.3">
      <c r="A3" s="1" t="s">
        <v>2</v>
      </c>
      <c r="B3" t="s">
        <v>0</v>
      </c>
    </row>
    <row r="4" spans="1:2" x14ac:dyDescent="0.3">
      <c r="A4" s="2" t="s">
        <v>3</v>
      </c>
      <c r="B4" s="6"/>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5824E-F9E5-476D-8E1B-5C7D1B0E6462}">
  <dimension ref="A2:B4"/>
  <sheetViews>
    <sheetView workbookViewId="0">
      <selection activeCell="B4" sqref="B4"/>
    </sheetView>
  </sheetViews>
  <sheetFormatPr defaultRowHeight="14.4" x14ac:dyDescent="0.3"/>
  <cols>
    <col min="1" max="1" width="17" bestFit="1" customWidth="1"/>
    <col min="2" max="2" width="28.77734375" bestFit="1" customWidth="1"/>
  </cols>
  <sheetData>
    <row r="2" spans="1:2" x14ac:dyDescent="0.3">
      <c r="A2" t="str">
        <f ca="1">"% выполнения от плана " &amp; "на" &amp;" " &amp;  TEXT((TODAY()-1),"ДД.ММ.ГГ")</f>
        <v>% выполнения от плана на 19.10.25</v>
      </c>
    </row>
    <row r="3" spans="1:2" x14ac:dyDescent="0.3">
      <c r="A3" s="1" t="s">
        <v>2</v>
      </c>
      <c r="B3" t="s">
        <v>1</v>
      </c>
    </row>
    <row r="4" spans="1:2" x14ac:dyDescent="0.3">
      <c r="A4" s="2" t="s">
        <v>3</v>
      </c>
      <c r="B4" s="3"/>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4</vt:i4>
      </vt:variant>
    </vt:vector>
  </HeadingPairs>
  <TitlesOfParts>
    <vt:vector size="4" baseType="lpstr">
      <vt:lpstr>Dashboard</vt:lpstr>
      <vt:lpstr>Отчет за день</vt:lpstr>
      <vt:lpstr>Объем работ за день</vt:lpstr>
      <vt:lpstr>% выполнения от плана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Костя Абросимов</cp:lastModifiedBy>
  <dcterms:created xsi:type="dcterms:W3CDTF">2025-07-28T05:41:07Z</dcterms:created>
  <dcterms:modified xsi:type="dcterms:W3CDTF">2025-10-20T14:44:08Z</dcterms:modified>
</cp:coreProperties>
</file>