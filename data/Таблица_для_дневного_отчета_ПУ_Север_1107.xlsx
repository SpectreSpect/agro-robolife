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\ВД\Agro\AgroIntelligence.Менеджер\Для команд\Заполненные таблицы\ПУ Север\"/>
    </mc:Choice>
  </mc:AlternateContent>
  <xr:revisionPtr revIDLastSave="0" documentId="13_ncr:1_{FFF90748-9BA4-452C-BCA4-C0DB3FF3F475}" xr6:coauthVersionLast="47" xr6:coauthVersionMax="47" xr10:uidLastSave="{00000000-0000-0000-0000-000000000000}"/>
  <bookViews>
    <workbookView xWindow="-110" yWindow="-110" windowWidth="19420" windowHeight="10560" xr2:uid="{D413A971-E825-4B75-9216-EE2AD271B05A}"/>
  </bookViews>
  <sheets>
    <sheet name="Полевые работы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" l="1"/>
  <c r="M7" i="1"/>
  <c r="M6" i="1"/>
  <c r="K9" i="1" l="1"/>
  <c r="L9" i="1"/>
  <c r="K8" i="1"/>
  <c r="L8" i="1"/>
  <c r="K7" i="1"/>
  <c r="L7" i="1"/>
  <c r="K6" i="1"/>
  <c r="L6" i="1"/>
</calcChain>
</file>

<file path=xl/sharedStrings.xml><?xml version="1.0" encoding="utf-8"?>
<sst xmlns="http://schemas.openxmlformats.org/spreadsheetml/2006/main" count="27" uniqueCount="18">
  <si>
    <t>Наименование операции</t>
  </si>
  <si>
    <t>Наименование культуры</t>
  </si>
  <si>
    <t>за день</t>
  </si>
  <si>
    <t>от начала</t>
  </si>
  <si>
    <t>Остаток</t>
  </si>
  <si>
    <t>ПУ Север</t>
  </si>
  <si>
    <t>Отделение 7</t>
  </si>
  <si>
    <t>Отделение 3</t>
  </si>
  <si>
    <t>Отделение 10</t>
  </si>
  <si>
    <t>Отделение 20</t>
  </si>
  <si>
    <t>Пшеница озимая товарная</t>
  </si>
  <si>
    <t>Свекла сахарная</t>
  </si>
  <si>
    <t>Дискование стерни</t>
  </si>
  <si>
    <t>Пахота</t>
  </si>
  <si>
    <t>Многолетние злаковые травы</t>
  </si>
  <si>
    <t>Итого</t>
  </si>
  <si>
    <t>Акарицидная обработка</t>
  </si>
  <si>
    <t>КАС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</si>
</sst>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3" fillId="0" borderId="8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FB5F-62DA-4D58-BC0B-DD8A591E0765}">
  <dimension ref="A2:M9"/>
  <sheetViews>
    <sheetView tabSelected="1" workbookViewId="0">
      <selection activeCell="A9" sqref="A9"/>
    </sheetView>
  </sheetViews>
  <sheetFormatPr defaultRowHeight="14.5" x14ac:dyDescent="0.35"/>
  <cols>
    <col min="1" max="1" width="23.08984375" bestFit="1" customWidth="1"/>
    <col min="2" max="2" width="29.36328125" bestFit="1" customWidth="1"/>
    <col min="3" max="3" width="10.08984375" style="1" bestFit="1" customWidth="1"/>
    <col min="4" max="4" width="12.08984375" style="1" bestFit="1" customWidth="1"/>
    <col min="5" max="5" width="10.08984375" style="1" bestFit="1" customWidth="1"/>
    <col min="6" max="6" width="12.08984375" style="1" bestFit="1" customWidth="1"/>
    <col min="7" max="7" width="10.08984375" style="1" bestFit="1" customWidth="1"/>
    <col min="8" max="8" width="12.08984375" style="1" bestFit="1" customWidth="1"/>
    <col min="9" max="9" width="10.08984375" style="1" bestFit="1" customWidth="1"/>
    <col min="10" max="10" width="12.08984375" style="1" bestFit="1" customWidth="1"/>
    <col min="11" max="11" width="10.08984375" style="1" bestFit="1" customWidth="1"/>
    <col min="12" max="12" width="12.08984375" style="1" bestFit="1" customWidth="1"/>
    <col min="13" max="13" width="8.90625" style="1" customWidth="1"/>
  </cols>
  <sheetData>
    <row r="2" spans="1:13" x14ac:dyDescent="0.35">
      <c r="A2" s="4">
        <v>45849</v>
      </c>
    </row>
    <row r="3" spans="1:13" x14ac:dyDescent="0.35">
      <c r="A3" s="11" t="s">
        <v>0</v>
      </c>
      <c r="B3" s="8" t="s">
        <v>1</v>
      </c>
      <c r="C3" s="7" t="s">
        <v>5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35">
      <c r="A4" s="12"/>
      <c r="B4" s="9"/>
      <c r="C4" s="14" t="s">
        <v>7</v>
      </c>
      <c r="D4" s="14"/>
      <c r="E4" s="14" t="s">
        <v>6</v>
      </c>
      <c r="F4" s="14"/>
      <c r="G4" s="14" t="s">
        <v>8</v>
      </c>
      <c r="H4" s="14"/>
      <c r="I4" s="14" t="s">
        <v>9</v>
      </c>
      <c r="J4" s="14"/>
      <c r="K4" s="7" t="s">
        <v>15</v>
      </c>
      <c r="L4" s="7"/>
      <c r="M4" s="8" t="s">
        <v>4</v>
      </c>
    </row>
    <row r="5" spans="1:13" x14ac:dyDescent="0.35">
      <c r="A5" s="13"/>
      <c r="B5" s="10"/>
      <c r="C5" s="2" t="s">
        <v>2</v>
      </c>
      <c r="D5" s="2" t="s">
        <v>3</v>
      </c>
      <c r="E5" s="2" t="s">
        <v>2</v>
      </c>
      <c r="F5" s="2" t="s">
        <v>3</v>
      </c>
      <c r="G5" s="2" t="s">
        <v>2</v>
      </c>
      <c r="H5" s="2" t="s">
        <v>3</v>
      </c>
      <c r="I5" s="2" t="s">
        <v>2</v>
      </c>
      <c r="J5" s="2" t="s">
        <v>3</v>
      </c>
      <c r="K5" s="2" t="s">
        <v>2</v>
      </c>
      <c r="L5" s="2" t="s">
        <v>3</v>
      </c>
      <c r="M5" s="10"/>
    </row>
    <row r="6" spans="1:13" ht="15.5" x14ac:dyDescent="0.35">
      <c r="A6" s="3" t="s">
        <v>16</v>
      </c>
      <c r="B6" s="6" t="s">
        <v>11</v>
      </c>
      <c r="C6" s="5"/>
      <c r="D6" s="5">
        <v>550</v>
      </c>
      <c r="E6" s="5">
        <v>125</v>
      </c>
      <c r="F6" s="5">
        <v>415</v>
      </c>
      <c r="G6" s="5"/>
      <c r="H6" s="5">
        <v>618</v>
      </c>
      <c r="I6" s="5"/>
      <c r="J6" s="5"/>
      <c r="K6" s="5">
        <f t="shared" ref="K6:K9" si="0">C6+E6+G6+I6</f>
        <v>125</v>
      </c>
      <c r="L6" s="5">
        <f t="shared" ref="L6:L9" si="1">D6+F6+H6+J6</f>
        <v>1583</v>
      </c>
      <c r="M6" s="5">
        <f>1099-K6</f>
        <v>974</v>
      </c>
    </row>
    <row r="7" spans="1:13" x14ac:dyDescent="0.35">
      <c r="A7" s="3" t="s">
        <v>12</v>
      </c>
      <c r="B7" s="3" t="s">
        <v>10</v>
      </c>
      <c r="C7" s="5">
        <v>61</v>
      </c>
      <c r="D7" s="5">
        <v>889</v>
      </c>
      <c r="E7" s="5">
        <v>70</v>
      </c>
      <c r="F7" s="5">
        <v>643</v>
      </c>
      <c r="G7" s="5">
        <v>60</v>
      </c>
      <c r="H7" s="5">
        <v>941</v>
      </c>
      <c r="I7" s="5">
        <v>168</v>
      </c>
      <c r="J7" s="5">
        <v>432</v>
      </c>
      <c r="K7" s="5">
        <f t="shared" si="0"/>
        <v>359</v>
      </c>
      <c r="L7" s="5">
        <f t="shared" si="1"/>
        <v>2905</v>
      </c>
      <c r="M7" s="5">
        <f>6918-K7</f>
        <v>6559</v>
      </c>
    </row>
    <row r="8" spans="1:13" ht="15.5" x14ac:dyDescent="0.35">
      <c r="A8" s="3" t="s">
        <v>13</v>
      </c>
      <c r="B8" s="6" t="s">
        <v>14</v>
      </c>
      <c r="C8" s="5"/>
      <c r="D8" s="5"/>
      <c r="E8" s="5"/>
      <c r="F8" s="5">
        <v>88</v>
      </c>
      <c r="G8" s="5"/>
      <c r="H8" s="5"/>
      <c r="I8" s="5">
        <v>22</v>
      </c>
      <c r="J8" s="5">
        <v>26</v>
      </c>
      <c r="K8" s="5">
        <f t="shared" si="0"/>
        <v>22</v>
      </c>
      <c r="L8" s="5">
        <f t="shared" si="1"/>
        <v>114</v>
      </c>
      <c r="M8" s="5">
        <f>35-K8</f>
        <v>13</v>
      </c>
    </row>
    <row r="9" spans="1:13" ht="15.5" x14ac:dyDescent="0.35">
      <c r="A9" s="3" t="s">
        <v>17</v>
      </c>
      <c r="B9" s="6" t="s">
        <v>11</v>
      </c>
      <c r="C9" s="5"/>
      <c r="D9" s="5"/>
      <c r="E9" s="5"/>
      <c r="F9" s="5"/>
      <c r="G9" s="5"/>
      <c r="H9" s="5"/>
      <c r="I9" s="5">
        <v>225</v>
      </c>
      <c r="J9" s="5">
        <v>484</v>
      </c>
      <c r="K9" s="5">
        <f t="shared" si="0"/>
        <v>225</v>
      </c>
      <c r="L9" s="5">
        <f t="shared" si="1"/>
        <v>484</v>
      </c>
      <c r="M9" s="5"/>
    </row>
  </sheetData>
  <mergeCells count="9">
    <mergeCell ref="K4:L4"/>
    <mergeCell ref="B3:B5"/>
    <mergeCell ref="A3:A5"/>
    <mergeCell ref="C3:M3"/>
    <mergeCell ref="M4:M5"/>
    <mergeCell ref="E4:F4"/>
    <mergeCell ref="C4:D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Полевые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Petrov</dc:creator>
  <cp:lastModifiedBy>Maxim Petrov</cp:lastModifiedBy>
  <dcterms:created xsi:type="dcterms:W3CDTF">2025-07-07T14:53:26Z</dcterms:created>
  <dcterms:modified xsi:type="dcterms:W3CDTF">2025-08-05T06:26:27Z</dcterms:modified>
</cp:coreProperties>
</file>